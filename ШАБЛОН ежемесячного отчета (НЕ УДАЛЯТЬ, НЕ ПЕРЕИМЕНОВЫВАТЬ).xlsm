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urrent Tasks\Excel_Jira\"/>
    </mc:Choice>
  </mc:AlternateContent>
  <xr:revisionPtr revIDLastSave="0" documentId="13_ncr:1_{5653D242-1521-4CB8-8424-7FCD7621020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le" sheetId="4" r:id="rId1"/>
    <sheet name="суммы оплат за месяц" sheetId="3" r:id="rId2"/>
  </sheets>
  <functionGroups builtInGroupCount="19"/>
  <definedNames>
    <definedName name="_xlnm._FilterDatabase" localSheetId="0" hidden="1">Table!$B$6:$I$22</definedName>
    <definedName name="Assignee">Table!$B$6</definedName>
    <definedName name="Brand">Table!$D$6</definedName>
    <definedName name="Description">Table!$E$6</definedName>
    <definedName name="File_Path">Table!$D$4</definedName>
    <definedName name="Invoice_Amount">Table!$I$6</definedName>
    <definedName name="Issue_Category">Table!$C$6</definedName>
    <definedName name="Payment_Date">Table!$H$6</definedName>
    <definedName name="Period">Table!$D$2</definedName>
    <definedName name="Quantity">Table!$F$6</definedName>
    <definedName name="Reporter">Table!$D$3</definedName>
    <definedName name="Savings">Table!$J$6</definedName>
    <definedName name="Supplier">Table!$G$6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4" l="1"/>
  <c r="I16" i="4"/>
  <c r="D2" i="3" l="1"/>
  <c r="D1" i="3" l="1"/>
  <c r="F18" i="3" l="1" a="1"/>
  <c r="F18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C18" i="3" a="1"/>
  <c r="C18" i="3" s="1"/>
  <c r="C4" i="3" a="1"/>
  <c r="C4" i="3" s="1"/>
  <c r="C5" i="3" a="1"/>
  <c r="C5" i="3" s="1"/>
  <c r="C6" i="3" a="1"/>
  <c r="C6" i="3" s="1"/>
  <c r="C7" i="3" a="1"/>
  <c r="C7" i="3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16" i="3" a="1"/>
  <c r="C16" i="3" s="1"/>
  <c r="C17" i="3" a="1"/>
  <c r="C17" i="3" s="1"/>
  <c r="F20" i="3" l="1"/>
  <c r="C20" i="3" l="1"/>
</calcChain>
</file>

<file path=xl/sharedStrings.xml><?xml version="1.0" encoding="utf-8"?>
<sst xmlns="http://schemas.openxmlformats.org/spreadsheetml/2006/main" count="85" uniqueCount="52">
  <si>
    <t>Clothing</t>
  </si>
  <si>
    <t>Construction Materials</t>
  </si>
  <si>
    <t>Household Goods</t>
  </si>
  <si>
    <t>IT Hardware</t>
  </si>
  <si>
    <t>Mobile phones and Tablets</t>
  </si>
  <si>
    <t>Printed Advertising</t>
  </si>
  <si>
    <t>Souvenirs</t>
  </si>
  <si>
    <t>Automobiles and Other Vehicles</t>
  </si>
  <si>
    <t>Food and Beverage</t>
  </si>
  <si>
    <t>On-line subscriptions</t>
  </si>
  <si>
    <t>Other</t>
  </si>
  <si>
    <t>Works and services needed for the operation of the company</t>
  </si>
  <si>
    <t>СУММА ОПЛАТ</t>
  </si>
  <si>
    <t xml:space="preserve">СУММА ЭКОНОМИИ </t>
  </si>
  <si>
    <t xml:space="preserve">ВСЕГО, USD </t>
  </si>
  <si>
    <t xml:space="preserve">ВСЕГО, USD  </t>
  </si>
  <si>
    <t>Информация по суммам оплат за</t>
  </si>
  <si>
    <t>Ссылка на файл регистрации:</t>
  </si>
  <si>
    <t>Отчётный месяц:</t>
  </si>
  <si>
    <t>Исполнитель :</t>
  </si>
  <si>
    <t>Исполнитель</t>
  </si>
  <si>
    <t xml:space="preserve">Office and Household Supplies </t>
  </si>
  <si>
    <t>Office Furniture</t>
  </si>
  <si>
    <t>Информация по суммам оплат</t>
  </si>
  <si>
    <t>Категория заявки</t>
  </si>
  <si>
    <t>Бренд (Производитель)</t>
  </si>
  <si>
    <t>Суть закупки</t>
  </si>
  <si>
    <t>Кол-во</t>
  </si>
  <si>
    <t>Поставщик</t>
  </si>
  <si>
    <t>Дата оплаты</t>
  </si>
  <si>
    <t>Сумма счета, USD</t>
  </si>
  <si>
    <t>Экономия, USD</t>
  </si>
  <si>
    <t>Software</t>
  </si>
  <si>
    <t>Октябрь, 2020</t>
  </si>
  <si>
    <t>C:\Work\Current Tasks\Excel_Jira\MINSK_Procurement task and invoices REGISTRATION_HARDWARE 2020.xlsx</t>
  </si>
  <si>
    <t>Oleg Shkadov</t>
  </si>
  <si>
    <t>Artbook EKSMO (Bombora)</t>
  </si>
  <si>
    <t>ЭКСМО АСТ Си энд Си</t>
  </si>
  <si>
    <t>[Events] Закупка ИС-7 гранит</t>
  </si>
  <si>
    <t>Хеви, ООО</t>
  </si>
  <si>
    <t>Nintendo</t>
  </si>
  <si>
    <t>Приставка Nintendo Switch</t>
  </si>
  <si>
    <t>УЛЬТРА БАЙ, ООО</t>
  </si>
  <si>
    <t>Костюмы</t>
  </si>
  <si>
    <t>СТ БРЕНД (SATOSHI)</t>
  </si>
  <si>
    <t>Флешки</t>
  </si>
  <si>
    <t>ЮСБ Сувениры</t>
  </si>
  <si>
    <t>Рубашки поло</t>
  </si>
  <si>
    <t>Нико Фирм</t>
  </si>
  <si>
    <t>Наушники</t>
  </si>
  <si>
    <t>Люди и цифры</t>
  </si>
  <si>
    <t>Бомберы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</si>
</sst>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[$$-409]* #,##0.00_ ;_-[$$-409]* \-#,##0.00\ ;_-[$$-409]* &quot;-&quot;??_ ;_-@_ "/>
    <numFmt numFmtId="166" formatCode="[$-419]mmmm\ yyyy;@"/>
    <numFmt numFmtId="167" formatCode="dd\.mm\.yyyy"/>
    <numFmt numFmtId="168" formatCode="[$$-409]* #\ ##0.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CD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3" fillId="0" borderId="0" xfId="0" applyFont="1"/>
    <xf numFmtId="2" fontId="0" fillId="0" borderId="0" xfId="0" applyNumberFormat="1"/>
    <xf numFmtId="165" fontId="0" fillId="0" borderId="0" xfId="0" applyNumberFormat="1"/>
    <xf numFmtId="0" fontId="3" fillId="0" borderId="0" xfId="0" applyFont="1" applyAlignment="1"/>
    <xf numFmtId="0" fontId="3" fillId="0" borderId="0" xfId="0" applyFont="1" applyAlignment="1">
      <alignment horizontal="left"/>
    </xf>
    <xf numFmtId="166" fontId="3" fillId="0" borderId="0" xfId="0" applyNumberFormat="1" applyFont="1" applyAlignment="1"/>
    <xf numFmtId="0" fontId="6" fillId="0" borderId="0" xfId="0" applyFont="1"/>
    <xf numFmtId="14" fontId="0" fillId="0" borderId="0" xfId="0" applyNumberFormat="1"/>
    <xf numFmtId="164" fontId="0" fillId="0" borderId="0" xfId="1" applyFont="1"/>
    <xf numFmtId="167" fontId="0" fillId="0" borderId="0" xfId="0" applyNumberFormat="1"/>
    <xf numFmtId="14" fontId="0" fillId="2" borderId="0" xfId="0" applyNumberFormat="1" applyFill="1"/>
    <xf numFmtId="168" fontId="0" fillId="0" borderId="0" xfId="0" applyNumberFormat="1"/>
    <xf numFmtId="0" fontId="4" fillId="0" borderId="0" xfId="0" applyFont="1" applyAlignment="1">
      <alignment vertical="top"/>
    </xf>
    <xf numFmtId="0" fontId="0" fillId="0" borderId="4" xfId="0" applyFill="1" applyBorder="1" applyAlignment="1">
      <alignment wrapText="1"/>
    </xf>
    <xf numFmtId="0" fontId="0" fillId="0" borderId="4" xfId="0" applyFill="1" applyBorder="1"/>
    <xf numFmtId="164" fontId="0" fillId="0" borderId="4" xfId="1" applyFont="1" applyFill="1" applyBorder="1" applyAlignment="1">
      <alignment wrapText="1"/>
    </xf>
    <xf numFmtId="167" fontId="0" fillId="0" borderId="4" xfId="1" applyNumberFormat="1" applyFont="1" applyFill="1" applyBorder="1"/>
    <xf numFmtId="168" fontId="0" fillId="0" borderId="4" xfId="0" applyNumberFormat="1" applyFill="1" applyBorder="1"/>
    <xf numFmtId="0" fontId="6" fillId="0" borderId="0" xfId="0" applyFont="1" applyFill="1"/>
    <xf numFmtId="164" fontId="5" fillId="0" borderId="0" xfId="1" applyFont="1" applyFill="1" applyAlignment="1">
      <alignment horizontal="left"/>
    </xf>
    <xf numFmtId="0" fontId="5" fillId="0" borderId="0" xfId="0" applyFont="1" applyFill="1" applyAlignment="1"/>
    <xf numFmtId="167" fontId="6" fillId="0" borderId="0" xfId="1" applyNumberFormat="1" applyFont="1" applyFill="1"/>
    <xf numFmtId="168" fontId="6" fillId="0" borderId="0" xfId="0" applyNumberFormat="1" applyFont="1" applyFill="1"/>
    <xf numFmtId="164" fontId="5" fillId="0" borderId="0" xfId="1" applyFont="1" applyFill="1" applyAlignment="1">
      <alignment vertical="top"/>
    </xf>
    <xf numFmtId="0" fontId="5" fillId="0" borderId="0" xfId="0" applyFont="1" applyFill="1" applyAlignment="1">
      <alignment vertical="top"/>
    </xf>
    <xf numFmtId="0" fontId="4" fillId="0" borderId="0" xfId="0" applyFont="1" applyFill="1" applyAlignment="1">
      <alignment vertical="top"/>
    </xf>
    <xf numFmtId="164" fontId="4" fillId="0" borderId="0" xfId="1" applyFont="1" applyFill="1" applyAlignment="1">
      <alignment vertical="top"/>
    </xf>
    <xf numFmtId="0" fontId="0" fillId="0" borderId="0" xfId="0" applyFill="1"/>
    <xf numFmtId="167" fontId="0" fillId="0" borderId="0" xfId="1" applyNumberFormat="1" applyFont="1" applyFill="1"/>
    <xf numFmtId="168" fontId="0" fillId="0" borderId="0" xfId="0" applyNumberFormat="1" applyFill="1"/>
    <xf numFmtId="0" fontId="8" fillId="0" borderId="4" xfId="0" applyFont="1" applyFill="1" applyBorder="1" applyAlignment="1">
      <alignment horizontal="right"/>
    </xf>
    <xf numFmtId="0" fontId="6" fillId="0" borderId="5" xfId="0" applyFont="1" applyFill="1" applyBorder="1"/>
    <xf numFmtId="0" fontId="5" fillId="0" borderId="5" xfId="0" applyFont="1" applyFill="1" applyBorder="1" applyAlignment="1">
      <alignment horizontal="right"/>
    </xf>
    <xf numFmtId="0" fontId="0" fillId="0" borderId="1" xfId="0" applyFill="1" applyBorder="1" applyAlignment="1">
      <alignment vertical="center" wrapText="1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wrapText="1"/>
    </xf>
    <xf numFmtId="165" fontId="0" fillId="0" borderId="1" xfId="0" applyNumberFormat="1" applyFill="1" applyBorder="1"/>
    <xf numFmtId="0" fontId="1" fillId="3" borderId="1" xfId="0" applyFont="1" applyFill="1" applyBorder="1" applyAlignment="1">
      <alignment horizontal="right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/>
    <xf numFmtId="164" fontId="5" fillId="0" borderId="0" xfId="1" applyFont="1" applyFill="1" applyBorder="1" applyAlignment="1">
      <alignment vertical="top"/>
    </xf>
    <xf numFmtId="0" fontId="9" fillId="4" borderId="1" xfId="0" applyFont="1" applyFill="1" applyBorder="1" applyAlignment="1">
      <alignment horizontal="center" vertical="center" wrapText="1"/>
    </xf>
    <xf numFmtId="1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left" vertical="center" wrapText="1"/>
    </xf>
    <xf numFmtId="167" fontId="9" fillId="4" borderId="1" xfId="0" applyNumberFormat="1" applyFont="1" applyFill="1" applyBorder="1" applyAlignment="1">
      <alignment horizontal="right" wrapText="1"/>
    </xf>
    <xf numFmtId="168" fontId="9" fillId="4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</xdr:row>
          <xdr:rowOff>47625</xdr:rowOff>
        </xdr:from>
        <xdr:to>
          <xdr:col>2</xdr:col>
          <xdr:colOff>1171575</xdr:colOff>
          <xdr:row>4</xdr:row>
          <xdr:rowOff>466725</xdr:rowOff>
        </xdr:to>
        <xdr:sp macro="" textlink="">
          <xdr:nvSpPr>
            <xdr:cNvPr id="1025" name="CommandButton_Make_Re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Detailed_Report">
    <pageSetUpPr fitToPage="1"/>
  </sheetPr>
  <dimension ref="B1:N269"/>
  <sheetViews>
    <sheetView tabSelected="1" zoomScaleNormal="100" workbookViewId="0">
      <selection activeCell="J16" sqref="J16"/>
    </sheetView>
  </sheetViews>
  <sheetFormatPr defaultRowHeight="15" x14ac:dyDescent="0.25"/>
  <cols>
    <col min="1" max="1" width="2.28515625" customWidth="1"/>
    <col min="2" max="2" width="24" customWidth="1"/>
    <col min="3" max="3" width="18.140625" customWidth="1"/>
    <col min="4" max="4" width="19.85546875" bestFit="1" customWidth="1"/>
    <col min="5" max="5" width="40" customWidth="1"/>
    <col min="6" max="6" width="18.140625" customWidth="1"/>
    <col min="7" max="7" width="28.42578125" customWidth="1"/>
    <col min="8" max="8" width="26.85546875" style="12" customWidth="1"/>
    <col min="9" max="9" width="22.28515625" style="14" customWidth="1"/>
    <col min="10" max="10" width="11.42578125" style="14" customWidth="1"/>
    <col min="11" max="12" width="10.140625" bestFit="1" customWidth="1"/>
  </cols>
  <sheetData>
    <row r="1" spans="2:14" ht="42" customHeight="1" x14ac:dyDescent="0.35">
      <c r="B1" s="16"/>
      <c r="C1" s="33" t="s">
        <v>23</v>
      </c>
      <c r="D1" s="17"/>
      <c r="E1" s="18"/>
      <c r="F1" s="17"/>
      <c r="G1" s="17"/>
      <c r="H1" s="19"/>
      <c r="I1" s="20"/>
      <c r="J1" s="20"/>
    </row>
    <row r="2" spans="2:14" s="9" customFormat="1" ht="15.75" x14ac:dyDescent="0.25">
      <c r="B2" s="34"/>
      <c r="C2" s="35" t="s">
        <v>18</v>
      </c>
      <c r="D2" s="44" t="s">
        <v>33</v>
      </c>
      <c r="E2" s="22"/>
      <c r="F2" s="23"/>
      <c r="G2" s="21"/>
      <c r="H2" s="24"/>
      <c r="I2" s="25"/>
      <c r="J2" s="25"/>
    </row>
    <row r="3" spans="2:14" s="9" customFormat="1" ht="15.75" x14ac:dyDescent="0.25">
      <c r="B3" s="34"/>
      <c r="C3" s="35" t="s">
        <v>19</v>
      </c>
      <c r="D3" s="45" t="s">
        <v>35</v>
      </c>
      <c r="E3" s="26"/>
      <c r="F3" s="27"/>
      <c r="G3" s="21"/>
      <c r="H3" s="24"/>
      <c r="I3" s="25"/>
      <c r="J3" s="25"/>
    </row>
    <row r="4" spans="2:14" s="9" customFormat="1" ht="15.75" x14ac:dyDescent="0.25">
      <c r="B4" s="34"/>
      <c r="C4" s="35" t="s">
        <v>17</v>
      </c>
      <c r="D4" s="52" t="s">
        <v>34</v>
      </c>
      <c r="E4" s="26"/>
      <c r="F4" s="27"/>
      <c r="G4" s="21"/>
      <c r="H4" s="24"/>
      <c r="I4" s="25"/>
      <c r="J4" s="25"/>
    </row>
    <row r="5" spans="2:14" ht="43.5" customHeight="1" x14ac:dyDescent="0.25">
      <c r="B5" s="28"/>
      <c r="C5" s="28"/>
      <c r="D5" s="28"/>
      <c r="E5" s="29"/>
      <c r="F5" s="28"/>
      <c r="G5" s="30"/>
      <c r="H5" s="31"/>
      <c r="I5" s="32"/>
      <c r="J5" s="32"/>
    </row>
    <row r="6" spans="2:14" s="51" customFormat="1" ht="30" x14ac:dyDescent="0.25">
      <c r="B6" s="46" t="s">
        <v>20</v>
      </c>
      <c r="C6" s="46" t="s">
        <v>24</v>
      </c>
      <c r="D6" s="46" t="s">
        <v>25</v>
      </c>
      <c r="E6" s="46" t="s">
        <v>26</v>
      </c>
      <c r="F6" s="47" t="s">
        <v>27</v>
      </c>
      <c r="G6" s="48" t="s">
        <v>28</v>
      </c>
      <c r="H6" s="49" t="s">
        <v>29</v>
      </c>
      <c r="I6" s="50" t="s">
        <v>30</v>
      </c>
      <c r="J6" s="50" t="s">
        <v>31</v>
      </c>
    </row>
    <row r="7" spans="2:14" s="2" customFormat="1" x14ac:dyDescent="0.25">
      <c r="B7" t="s">
        <v>35</v>
      </c>
      <c r="C7" t="s">
        <v>6</v>
      </c>
      <c r="D7"/>
      <c r="E7" t="s">
        <v>36</v>
      </c>
      <c r="F7">
        <v>265</v>
      </c>
      <c r="G7" t="s">
        <v>37</v>
      </c>
      <c r="H7" s="12">
        <v>44124</v>
      </c>
      <c r="I7" s="14">
        <v>8272.0400000000009</v>
      </c>
      <c r="J7" s="14">
        <v>0</v>
      </c>
      <c r="K7"/>
      <c r="L7" s="11"/>
      <c r="M7"/>
      <c r="N7" s="13"/>
    </row>
    <row r="8" spans="2:14" s="2" customFormat="1" x14ac:dyDescent="0.25">
      <c r="B8" t="s">
        <v>35</v>
      </c>
      <c r="C8" t="s">
        <v>6</v>
      </c>
      <c r="D8"/>
      <c r="E8" t="s">
        <v>38</v>
      </c>
      <c r="F8">
        <v>8</v>
      </c>
      <c r="G8" t="s">
        <v>39</v>
      </c>
      <c r="H8" s="12">
        <v>44110</v>
      </c>
      <c r="I8" s="14">
        <v>1769.2308</v>
      </c>
      <c r="J8" s="14">
        <v>0</v>
      </c>
      <c r="K8" s="10"/>
      <c r="L8" s="10"/>
      <c r="M8"/>
      <c r="N8" s="13"/>
    </row>
    <row r="9" spans="2:14" x14ac:dyDescent="0.25">
      <c r="B9" t="s">
        <v>35</v>
      </c>
      <c r="C9" t="s">
        <v>6</v>
      </c>
      <c r="D9" t="s">
        <v>40</v>
      </c>
      <c r="E9" t="s">
        <v>41</v>
      </c>
      <c r="F9">
        <v>1</v>
      </c>
      <c r="G9" t="s">
        <v>42</v>
      </c>
      <c r="H9" s="12">
        <v>44105</v>
      </c>
      <c r="I9" s="14">
        <v>375.76920000000001</v>
      </c>
      <c r="J9" s="14">
        <v>0</v>
      </c>
      <c r="K9" s="10"/>
      <c r="L9" s="10"/>
      <c r="N9" s="10"/>
    </row>
    <row r="10" spans="2:14" x14ac:dyDescent="0.25">
      <c r="B10" t="s">
        <v>35</v>
      </c>
      <c r="C10" t="s">
        <v>6</v>
      </c>
      <c r="E10" t="s">
        <v>43</v>
      </c>
      <c r="F10">
        <v>52</v>
      </c>
      <c r="G10" t="s">
        <v>44</v>
      </c>
      <c r="H10" s="12">
        <v>44130</v>
      </c>
      <c r="I10" s="14">
        <v>3603.0769</v>
      </c>
      <c r="J10" s="14">
        <v>0</v>
      </c>
      <c r="N10" s="10"/>
    </row>
    <row r="11" spans="2:14" x14ac:dyDescent="0.25">
      <c r="B11" t="s">
        <v>35</v>
      </c>
      <c r="C11" t="s">
        <v>6</v>
      </c>
      <c r="E11" t="s">
        <v>45</v>
      </c>
      <c r="F11">
        <v>200</v>
      </c>
      <c r="G11" t="s">
        <v>46</v>
      </c>
      <c r="H11" s="12">
        <v>44110</v>
      </c>
      <c r="I11" s="14">
        <v>1820.4103</v>
      </c>
      <c r="J11" s="14">
        <v>0</v>
      </c>
      <c r="N11" s="10"/>
    </row>
    <row r="12" spans="2:14" x14ac:dyDescent="0.25">
      <c r="B12" t="s">
        <v>35</v>
      </c>
      <c r="C12" t="s">
        <v>6</v>
      </c>
      <c r="E12" t="s">
        <v>47</v>
      </c>
      <c r="F12">
        <v>50</v>
      </c>
      <c r="G12" t="s">
        <v>48</v>
      </c>
      <c r="H12" s="12">
        <v>44116</v>
      </c>
      <c r="I12" s="14">
        <v>888.4615</v>
      </c>
      <c r="J12" s="14">
        <v>0</v>
      </c>
      <c r="N12" s="10"/>
    </row>
    <row r="13" spans="2:14" x14ac:dyDescent="0.25">
      <c r="B13" t="s">
        <v>35</v>
      </c>
      <c r="C13" t="s">
        <v>6</v>
      </c>
      <c r="E13" t="s">
        <v>49</v>
      </c>
      <c r="F13">
        <v>20</v>
      </c>
      <c r="G13" t="s">
        <v>50</v>
      </c>
      <c r="H13" s="12">
        <v>44116</v>
      </c>
      <c r="I13" s="14">
        <v>2138.4</v>
      </c>
      <c r="J13" s="14">
        <v>221.6</v>
      </c>
      <c r="N13" s="10"/>
    </row>
    <row r="14" spans="2:14" x14ac:dyDescent="0.25">
      <c r="B14" t="s">
        <v>35</v>
      </c>
      <c r="C14" t="s">
        <v>6</v>
      </c>
      <c r="E14" t="s">
        <v>51</v>
      </c>
      <c r="F14">
        <v>77</v>
      </c>
      <c r="G14" t="s">
        <v>48</v>
      </c>
      <c r="H14" s="12">
        <v>44118</v>
      </c>
      <c r="I14" s="14">
        <v>3235.0654</v>
      </c>
      <c r="J14" s="14">
        <v>0</v>
      </c>
      <c r="N14" s="10"/>
    </row>
    <row r="15" spans="2:14" x14ac:dyDescent="0.25">
      <c r="N15" s="10"/>
    </row>
    <row r="16" spans="2:14" x14ac:dyDescent="0.25">
      <c r="I16" s="14">
        <f>SUM(I7:I14)</f>
        <v>22102.454100000003</v>
      </c>
      <c r="J16" s="14">
        <f>SUM(J7:J14)</f>
        <v>221.6</v>
      </c>
      <c r="N16" s="10"/>
    </row>
    <row r="17" spans="11:14" x14ac:dyDescent="0.25">
      <c r="N17" s="10"/>
    </row>
    <row r="18" spans="11:14" x14ac:dyDescent="0.25">
      <c r="K18" s="4"/>
      <c r="N18" s="10"/>
    </row>
    <row r="19" spans="11:14" x14ac:dyDescent="0.25">
      <c r="N19" s="10"/>
    </row>
    <row r="20" spans="11:14" x14ac:dyDescent="0.25">
      <c r="N20" s="10"/>
    </row>
    <row r="21" spans="11:14" x14ac:dyDescent="0.25">
      <c r="N21" s="10"/>
    </row>
    <row r="22" spans="11:14" x14ac:dyDescent="0.25">
      <c r="N22" s="10"/>
    </row>
    <row r="23" spans="11:14" x14ac:dyDescent="0.25">
      <c r="N23" s="10"/>
    </row>
    <row r="24" spans="11:14" x14ac:dyDescent="0.25">
      <c r="N24" s="10"/>
    </row>
    <row r="25" spans="11:14" x14ac:dyDescent="0.25">
      <c r="N25" s="10"/>
    </row>
    <row r="26" spans="11:14" x14ac:dyDescent="0.25">
      <c r="N26" s="10"/>
    </row>
    <row r="27" spans="11:14" x14ac:dyDescent="0.25">
      <c r="N27" s="10"/>
    </row>
    <row r="28" spans="11:14" x14ac:dyDescent="0.25">
      <c r="N28" s="10"/>
    </row>
    <row r="29" spans="11:14" x14ac:dyDescent="0.25">
      <c r="N29" s="10"/>
    </row>
    <row r="30" spans="11:14" x14ac:dyDescent="0.25">
      <c r="N30" s="10"/>
    </row>
    <row r="31" spans="11:14" x14ac:dyDescent="0.25">
      <c r="N31" s="10"/>
    </row>
    <row r="32" spans="11:14" x14ac:dyDescent="0.25">
      <c r="N32" s="10"/>
    </row>
    <row r="33" spans="14:14" x14ac:dyDescent="0.25">
      <c r="N33" s="10"/>
    </row>
    <row r="34" spans="14:14" x14ac:dyDescent="0.25">
      <c r="N34" s="10"/>
    </row>
    <row r="35" spans="14:14" x14ac:dyDescent="0.25">
      <c r="N35" s="10"/>
    </row>
    <row r="36" spans="14:14" x14ac:dyDescent="0.25">
      <c r="N36" s="10"/>
    </row>
    <row r="37" spans="14:14" x14ac:dyDescent="0.25">
      <c r="N37" s="10"/>
    </row>
    <row r="38" spans="14:14" x14ac:dyDescent="0.25">
      <c r="N38" s="10"/>
    </row>
    <row r="39" spans="14:14" x14ac:dyDescent="0.25">
      <c r="N39" s="10"/>
    </row>
    <row r="40" spans="14:14" x14ac:dyDescent="0.25">
      <c r="N40" s="10"/>
    </row>
    <row r="41" spans="14:14" x14ac:dyDescent="0.25">
      <c r="N41" s="10"/>
    </row>
    <row r="42" spans="14:14" x14ac:dyDescent="0.25">
      <c r="N42" s="10"/>
    </row>
    <row r="43" spans="14:14" x14ac:dyDescent="0.25">
      <c r="N43" s="10"/>
    </row>
    <row r="44" spans="14:14" x14ac:dyDescent="0.25">
      <c r="N44" s="10"/>
    </row>
    <row r="45" spans="14:14" x14ac:dyDescent="0.25">
      <c r="N45" s="10"/>
    </row>
    <row r="46" spans="14:14" x14ac:dyDescent="0.25">
      <c r="N46" s="10"/>
    </row>
    <row r="47" spans="14:14" x14ac:dyDescent="0.25">
      <c r="N47" s="10"/>
    </row>
    <row r="48" spans="14:14" x14ac:dyDescent="0.25">
      <c r="N48" s="10"/>
    </row>
    <row r="49" spans="14:14" x14ac:dyDescent="0.25">
      <c r="N49" s="10"/>
    </row>
    <row r="50" spans="14:14" x14ac:dyDescent="0.25">
      <c r="N50" s="10"/>
    </row>
    <row r="51" spans="14:14" x14ac:dyDescent="0.25">
      <c r="N51" s="10"/>
    </row>
    <row r="52" spans="14:14" x14ac:dyDescent="0.25">
      <c r="N52" s="10"/>
    </row>
    <row r="53" spans="14:14" x14ac:dyDescent="0.25">
      <c r="N53" s="10"/>
    </row>
    <row r="54" spans="14:14" x14ac:dyDescent="0.25">
      <c r="N54" s="10"/>
    </row>
    <row r="55" spans="14:14" x14ac:dyDescent="0.25">
      <c r="N55" s="10"/>
    </row>
    <row r="56" spans="14:14" x14ac:dyDescent="0.25">
      <c r="N56" s="10"/>
    </row>
    <row r="57" spans="14:14" x14ac:dyDescent="0.25">
      <c r="N57" s="10"/>
    </row>
    <row r="58" spans="14:14" x14ac:dyDescent="0.25">
      <c r="N58" s="10"/>
    </row>
    <row r="59" spans="14:14" x14ac:dyDescent="0.25">
      <c r="N59" s="10"/>
    </row>
    <row r="60" spans="14:14" x14ac:dyDescent="0.25">
      <c r="N60" s="10"/>
    </row>
    <row r="61" spans="14:14" x14ac:dyDescent="0.25">
      <c r="N61" s="10"/>
    </row>
    <row r="62" spans="14:14" x14ac:dyDescent="0.25">
      <c r="N62" s="10"/>
    </row>
    <row r="63" spans="14:14" x14ac:dyDescent="0.25">
      <c r="N63" s="10"/>
    </row>
    <row r="64" spans="14:14" x14ac:dyDescent="0.25">
      <c r="N64" s="10"/>
    </row>
    <row r="65" spans="14:14" x14ac:dyDescent="0.25">
      <c r="N65" s="10"/>
    </row>
    <row r="66" spans="14:14" x14ac:dyDescent="0.25">
      <c r="N66" s="10"/>
    </row>
    <row r="67" spans="14:14" x14ac:dyDescent="0.25">
      <c r="N67" s="10"/>
    </row>
    <row r="68" spans="14:14" x14ac:dyDescent="0.25">
      <c r="N68" s="10"/>
    </row>
    <row r="69" spans="14:14" x14ac:dyDescent="0.25">
      <c r="N69" s="10"/>
    </row>
    <row r="70" spans="14:14" x14ac:dyDescent="0.25">
      <c r="N70" s="10"/>
    </row>
    <row r="71" spans="14:14" x14ac:dyDescent="0.25">
      <c r="N71" s="10"/>
    </row>
    <row r="72" spans="14:14" x14ac:dyDescent="0.25">
      <c r="N72" s="10"/>
    </row>
    <row r="73" spans="14:14" x14ac:dyDescent="0.25">
      <c r="N73" s="10"/>
    </row>
    <row r="74" spans="14:14" x14ac:dyDescent="0.25">
      <c r="N74" s="10"/>
    </row>
    <row r="75" spans="14:14" x14ac:dyDescent="0.25">
      <c r="N75" s="10"/>
    </row>
    <row r="76" spans="14:14" x14ac:dyDescent="0.25">
      <c r="N76" s="10"/>
    </row>
    <row r="77" spans="14:14" x14ac:dyDescent="0.25">
      <c r="N77" s="10"/>
    </row>
    <row r="78" spans="14:14" x14ac:dyDescent="0.25">
      <c r="N78" s="10"/>
    </row>
    <row r="79" spans="14:14" x14ac:dyDescent="0.25">
      <c r="N79" s="10"/>
    </row>
    <row r="80" spans="14:14" x14ac:dyDescent="0.25">
      <c r="N80" s="10"/>
    </row>
    <row r="81" spans="14:14" x14ac:dyDescent="0.25">
      <c r="N81" s="10"/>
    </row>
    <row r="82" spans="14:14" x14ac:dyDescent="0.25">
      <c r="N82" s="10"/>
    </row>
    <row r="83" spans="14:14" x14ac:dyDescent="0.25">
      <c r="N83" s="10"/>
    </row>
    <row r="84" spans="14:14" x14ac:dyDescent="0.25">
      <c r="N84" s="10"/>
    </row>
    <row r="85" spans="14:14" x14ac:dyDescent="0.25">
      <c r="N85" s="10"/>
    </row>
    <row r="86" spans="14:14" x14ac:dyDescent="0.25">
      <c r="N86" s="10"/>
    </row>
    <row r="87" spans="14:14" x14ac:dyDescent="0.25">
      <c r="N87" s="10"/>
    </row>
    <row r="88" spans="14:14" x14ac:dyDescent="0.25">
      <c r="N88" s="10"/>
    </row>
    <row r="89" spans="14:14" x14ac:dyDescent="0.25">
      <c r="N89" s="10"/>
    </row>
    <row r="90" spans="14:14" x14ac:dyDescent="0.25">
      <c r="N90" s="10"/>
    </row>
    <row r="91" spans="14:14" x14ac:dyDescent="0.25">
      <c r="N91" s="10"/>
    </row>
    <row r="92" spans="14:14" x14ac:dyDescent="0.25">
      <c r="N92" s="10"/>
    </row>
    <row r="93" spans="14:14" x14ac:dyDescent="0.25">
      <c r="N93" s="10"/>
    </row>
    <row r="94" spans="14:14" x14ac:dyDescent="0.25">
      <c r="N94" s="10"/>
    </row>
    <row r="95" spans="14:14" x14ac:dyDescent="0.25">
      <c r="N95" s="10"/>
    </row>
    <row r="96" spans="14:14" x14ac:dyDescent="0.25">
      <c r="N96" s="10"/>
    </row>
    <row r="97" spans="14:14" x14ac:dyDescent="0.25">
      <c r="N97" s="10"/>
    </row>
    <row r="98" spans="14:14" x14ac:dyDescent="0.25">
      <c r="N98" s="10"/>
    </row>
    <row r="99" spans="14:14" x14ac:dyDescent="0.25">
      <c r="N99" s="10"/>
    </row>
    <row r="100" spans="14:14" x14ac:dyDescent="0.25">
      <c r="N100" s="10"/>
    </row>
    <row r="101" spans="14:14" x14ac:dyDescent="0.25">
      <c r="N101" s="10"/>
    </row>
    <row r="102" spans="14:14" x14ac:dyDescent="0.25">
      <c r="N102" s="10"/>
    </row>
    <row r="103" spans="14:14" x14ac:dyDescent="0.25">
      <c r="N103" s="10"/>
    </row>
    <row r="104" spans="14:14" x14ac:dyDescent="0.25">
      <c r="N104" s="10"/>
    </row>
    <row r="105" spans="14:14" x14ac:dyDescent="0.25">
      <c r="N105" s="10"/>
    </row>
    <row r="106" spans="14:14" x14ac:dyDescent="0.25">
      <c r="N106" s="10"/>
    </row>
    <row r="107" spans="14:14" x14ac:dyDescent="0.25">
      <c r="N107" s="10"/>
    </row>
    <row r="108" spans="14:14" x14ac:dyDescent="0.25">
      <c r="N108" s="10"/>
    </row>
    <row r="109" spans="14:14" x14ac:dyDescent="0.25">
      <c r="N109" s="10"/>
    </row>
    <row r="110" spans="14:14" x14ac:dyDescent="0.25">
      <c r="N110" s="10"/>
    </row>
    <row r="111" spans="14:14" x14ac:dyDescent="0.25">
      <c r="N111" s="10"/>
    </row>
    <row r="112" spans="14:14" x14ac:dyDescent="0.25">
      <c r="N112" s="10"/>
    </row>
    <row r="113" spans="14:14" x14ac:dyDescent="0.25">
      <c r="N113" s="10"/>
    </row>
    <row r="114" spans="14:14" x14ac:dyDescent="0.25">
      <c r="N114" s="10"/>
    </row>
    <row r="115" spans="14:14" x14ac:dyDescent="0.25">
      <c r="N115" s="10"/>
    </row>
    <row r="116" spans="14:14" x14ac:dyDescent="0.25">
      <c r="N116" s="10"/>
    </row>
    <row r="117" spans="14:14" x14ac:dyDescent="0.25">
      <c r="N117" s="10"/>
    </row>
    <row r="118" spans="14:14" x14ac:dyDescent="0.25">
      <c r="N118" s="10"/>
    </row>
    <row r="119" spans="14:14" x14ac:dyDescent="0.25">
      <c r="N119" s="10"/>
    </row>
    <row r="120" spans="14:14" x14ac:dyDescent="0.25">
      <c r="N120" s="10"/>
    </row>
    <row r="121" spans="14:14" x14ac:dyDescent="0.25">
      <c r="N121" s="10"/>
    </row>
    <row r="122" spans="14:14" x14ac:dyDescent="0.25">
      <c r="N122" s="10"/>
    </row>
    <row r="123" spans="14:14" x14ac:dyDescent="0.25">
      <c r="N123" s="10"/>
    </row>
    <row r="124" spans="14:14" x14ac:dyDescent="0.25">
      <c r="N124" s="10"/>
    </row>
    <row r="125" spans="14:14" x14ac:dyDescent="0.25">
      <c r="N125" s="10"/>
    </row>
    <row r="126" spans="14:14" x14ac:dyDescent="0.25">
      <c r="N126" s="10"/>
    </row>
    <row r="127" spans="14:14" x14ac:dyDescent="0.25">
      <c r="N127" s="10"/>
    </row>
    <row r="128" spans="14:14" x14ac:dyDescent="0.25">
      <c r="N128" s="10"/>
    </row>
    <row r="129" spans="14:14" x14ac:dyDescent="0.25">
      <c r="N129" s="10"/>
    </row>
    <row r="130" spans="14:14" x14ac:dyDescent="0.25">
      <c r="N130" s="10"/>
    </row>
    <row r="131" spans="14:14" x14ac:dyDescent="0.25">
      <c r="N131" s="10"/>
    </row>
    <row r="132" spans="14:14" x14ac:dyDescent="0.25">
      <c r="N132" s="10"/>
    </row>
    <row r="133" spans="14:14" x14ac:dyDescent="0.25">
      <c r="N133" s="10"/>
    </row>
    <row r="134" spans="14:14" x14ac:dyDescent="0.25">
      <c r="N134" s="10"/>
    </row>
    <row r="135" spans="14:14" x14ac:dyDescent="0.25">
      <c r="N135" s="10"/>
    </row>
    <row r="136" spans="14:14" x14ac:dyDescent="0.25">
      <c r="N136" s="10"/>
    </row>
    <row r="137" spans="14:14" x14ac:dyDescent="0.25">
      <c r="N137" s="10"/>
    </row>
    <row r="138" spans="14:14" x14ac:dyDescent="0.25">
      <c r="N138" s="10"/>
    </row>
    <row r="139" spans="14:14" x14ac:dyDescent="0.25">
      <c r="N139" s="10"/>
    </row>
    <row r="140" spans="14:14" x14ac:dyDescent="0.25">
      <c r="N140" s="10"/>
    </row>
    <row r="141" spans="14:14" x14ac:dyDescent="0.25">
      <c r="N141" s="10"/>
    </row>
    <row r="142" spans="14:14" x14ac:dyDescent="0.25">
      <c r="N142" s="10"/>
    </row>
    <row r="143" spans="14:14" x14ac:dyDescent="0.25">
      <c r="N143" s="10"/>
    </row>
    <row r="144" spans="14:14" x14ac:dyDescent="0.25">
      <c r="N144" s="10"/>
    </row>
    <row r="145" spans="14:14" x14ac:dyDescent="0.25">
      <c r="N145" s="10"/>
    </row>
    <row r="146" spans="14:14" x14ac:dyDescent="0.25">
      <c r="N146" s="10"/>
    </row>
    <row r="147" spans="14:14" x14ac:dyDescent="0.25">
      <c r="N147" s="10"/>
    </row>
    <row r="148" spans="14:14" x14ac:dyDescent="0.25">
      <c r="N148" s="10"/>
    </row>
    <row r="149" spans="14:14" x14ac:dyDescent="0.25">
      <c r="N149" s="10"/>
    </row>
    <row r="150" spans="14:14" x14ac:dyDescent="0.25">
      <c r="N150" s="10"/>
    </row>
    <row r="151" spans="14:14" x14ac:dyDescent="0.25">
      <c r="N151" s="10"/>
    </row>
    <row r="152" spans="14:14" x14ac:dyDescent="0.25">
      <c r="N152" s="10"/>
    </row>
    <row r="153" spans="14:14" x14ac:dyDescent="0.25">
      <c r="N153" s="10"/>
    </row>
    <row r="154" spans="14:14" x14ac:dyDescent="0.25">
      <c r="N154" s="10"/>
    </row>
    <row r="155" spans="14:14" x14ac:dyDescent="0.25">
      <c r="N155" s="10"/>
    </row>
    <row r="156" spans="14:14" x14ac:dyDescent="0.25">
      <c r="N156" s="10"/>
    </row>
    <row r="157" spans="14:14" x14ac:dyDescent="0.25">
      <c r="N157" s="10"/>
    </row>
    <row r="158" spans="14:14" x14ac:dyDescent="0.25">
      <c r="N158" s="10"/>
    </row>
    <row r="159" spans="14:14" x14ac:dyDescent="0.25">
      <c r="N159" s="10"/>
    </row>
    <row r="160" spans="14:14" x14ac:dyDescent="0.25">
      <c r="N160" s="10"/>
    </row>
    <row r="161" spans="14:14" x14ac:dyDescent="0.25">
      <c r="N161" s="10"/>
    </row>
    <row r="162" spans="14:14" x14ac:dyDescent="0.25">
      <c r="N162" s="10"/>
    </row>
    <row r="163" spans="14:14" x14ac:dyDescent="0.25">
      <c r="N163" s="10"/>
    </row>
    <row r="164" spans="14:14" x14ac:dyDescent="0.25">
      <c r="N164" s="10"/>
    </row>
    <row r="165" spans="14:14" x14ac:dyDescent="0.25">
      <c r="N165" s="10"/>
    </row>
    <row r="166" spans="14:14" x14ac:dyDescent="0.25">
      <c r="N166" s="10"/>
    </row>
    <row r="167" spans="14:14" x14ac:dyDescent="0.25">
      <c r="N167" s="10"/>
    </row>
    <row r="168" spans="14:14" x14ac:dyDescent="0.25">
      <c r="N168" s="10"/>
    </row>
    <row r="169" spans="14:14" x14ac:dyDescent="0.25">
      <c r="N169" s="10"/>
    </row>
    <row r="170" spans="14:14" x14ac:dyDescent="0.25">
      <c r="N170" s="10"/>
    </row>
    <row r="171" spans="14:14" x14ac:dyDescent="0.25">
      <c r="N171" s="10"/>
    </row>
    <row r="172" spans="14:14" x14ac:dyDescent="0.25">
      <c r="N172" s="10"/>
    </row>
    <row r="173" spans="14:14" x14ac:dyDescent="0.25">
      <c r="N173" s="10"/>
    </row>
    <row r="174" spans="14:14" x14ac:dyDescent="0.25">
      <c r="N174" s="10"/>
    </row>
    <row r="175" spans="14:14" x14ac:dyDescent="0.25">
      <c r="N175" s="10"/>
    </row>
    <row r="176" spans="14:14" x14ac:dyDescent="0.25">
      <c r="N176" s="10"/>
    </row>
    <row r="177" spans="14:14" x14ac:dyDescent="0.25">
      <c r="N177" s="10"/>
    </row>
    <row r="178" spans="14:14" x14ac:dyDescent="0.25">
      <c r="N178" s="10"/>
    </row>
    <row r="179" spans="14:14" x14ac:dyDescent="0.25">
      <c r="N179" s="10"/>
    </row>
    <row r="180" spans="14:14" x14ac:dyDescent="0.25">
      <c r="N180" s="10"/>
    </row>
    <row r="181" spans="14:14" x14ac:dyDescent="0.25">
      <c r="N181" s="10"/>
    </row>
    <row r="182" spans="14:14" x14ac:dyDescent="0.25">
      <c r="N182" s="10"/>
    </row>
    <row r="183" spans="14:14" x14ac:dyDescent="0.25">
      <c r="N183" s="10"/>
    </row>
    <row r="184" spans="14:14" x14ac:dyDescent="0.25">
      <c r="N184" s="10"/>
    </row>
    <row r="185" spans="14:14" x14ac:dyDescent="0.25">
      <c r="N185" s="10"/>
    </row>
    <row r="186" spans="14:14" x14ac:dyDescent="0.25">
      <c r="N186" s="10"/>
    </row>
    <row r="187" spans="14:14" x14ac:dyDescent="0.25">
      <c r="N187" s="10"/>
    </row>
    <row r="188" spans="14:14" x14ac:dyDescent="0.25">
      <c r="N188" s="10"/>
    </row>
    <row r="189" spans="14:14" x14ac:dyDescent="0.25">
      <c r="N189" s="10"/>
    </row>
    <row r="190" spans="14:14" x14ac:dyDescent="0.25">
      <c r="N190" s="10"/>
    </row>
    <row r="191" spans="14:14" x14ac:dyDescent="0.25">
      <c r="N191" s="10"/>
    </row>
    <row r="192" spans="14:14" x14ac:dyDescent="0.25">
      <c r="N192" s="10"/>
    </row>
    <row r="193" spans="14:14" x14ac:dyDescent="0.25">
      <c r="N193" s="10"/>
    </row>
    <row r="194" spans="14:14" x14ac:dyDescent="0.25">
      <c r="N194" s="10"/>
    </row>
    <row r="195" spans="14:14" x14ac:dyDescent="0.25">
      <c r="N195" s="10"/>
    </row>
    <row r="196" spans="14:14" x14ac:dyDescent="0.25">
      <c r="N196" s="10"/>
    </row>
    <row r="197" spans="14:14" x14ac:dyDescent="0.25">
      <c r="N197" s="10"/>
    </row>
    <row r="198" spans="14:14" x14ac:dyDescent="0.25">
      <c r="N198" s="10"/>
    </row>
    <row r="199" spans="14:14" x14ac:dyDescent="0.25">
      <c r="N199" s="10"/>
    </row>
    <row r="200" spans="14:14" x14ac:dyDescent="0.25">
      <c r="N200" s="10"/>
    </row>
    <row r="201" spans="14:14" x14ac:dyDescent="0.25">
      <c r="N201" s="10"/>
    </row>
    <row r="202" spans="14:14" x14ac:dyDescent="0.25">
      <c r="N202" s="10"/>
    </row>
    <row r="203" spans="14:14" x14ac:dyDescent="0.25">
      <c r="N203" s="10"/>
    </row>
    <row r="204" spans="14:14" x14ac:dyDescent="0.25">
      <c r="N204" s="10"/>
    </row>
    <row r="205" spans="14:14" x14ac:dyDescent="0.25">
      <c r="N205" s="10"/>
    </row>
    <row r="206" spans="14:14" x14ac:dyDescent="0.25">
      <c r="N206" s="10"/>
    </row>
    <row r="207" spans="14:14" x14ac:dyDescent="0.25">
      <c r="N207" s="10"/>
    </row>
    <row r="208" spans="14:14" x14ac:dyDescent="0.25">
      <c r="N208" s="10"/>
    </row>
    <row r="209" spans="14:14" x14ac:dyDescent="0.25">
      <c r="N209" s="10"/>
    </row>
    <row r="210" spans="14:14" x14ac:dyDescent="0.25">
      <c r="N210" s="10"/>
    </row>
    <row r="211" spans="14:14" x14ac:dyDescent="0.25">
      <c r="N211" s="10"/>
    </row>
    <row r="212" spans="14:14" x14ac:dyDescent="0.25">
      <c r="N212" s="10"/>
    </row>
    <row r="213" spans="14:14" x14ac:dyDescent="0.25">
      <c r="N213" s="10"/>
    </row>
    <row r="214" spans="14:14" x14ac:dyDescent="0.25">
      <c r="N214" s="10"/>
    </row>
    <row r="215" spans="14:14" x14ac:dyDescent="0.25">
      <c r="N215" s="10"/>
    </row>
    <row r="216" spans="14:14" x14ac:dyDescent="0.25">
      <c r="N216" s="10"/>
    </row>
    <row r="217" spans="14:14" x14ac:dyDescent="0.25">
      <c r="N217" s="10"/>
    </row>
    <row r="218" spans="14:14" x14ac:dyDescent="0.25">
      <c r="N218" s="10"/>
    </row>
    <row r="219" spans="14:14" x14ac:dyDescent="0.25">
      <c r="N219" s="10"/>
    </row>
    <row r="220" spans="14:14" x14ac:dyDescent="0.25">
      <c r="N220" s="10"/>
    </row>
    <row r="221" spans="14:14" x14ac:dyDescent="0.25">
      <c r="N221" s="10"/>
    </row>
    <row r="222" spans="14:14" x14ac:dyDescent="0.25">
      <c r="N222" s="10"/>
    </row>
    <row r="223" spans="14:14" x14ac:dyDescent="0.25">
      <c r="N223" s="10"/>
    </row>
    <row r="224" spans="14:14" x14ac:dyDescent="0.25">
      <c r="N224" s="10"/>
    </row>
    <row r="225" spans="14:14" x14ac:dyDescent="0.25">
      <c r="N225" s="10"/>
    </row>
    <row r="226" spans="14:14" x14ac:dyDescent="0.25">
      <c r="N226" s="10"/>
    </row>
    <row r="227" spans="14:14" x14ac:dyDescent="0.25">
      <c r="N227" s="10"/>
    </row>
    <row r="228" spans="14:14" x14ac:dyDescent="0.25">
      <c r="N228" s="10"/>
    </row>
    <row r="229" spans="14:14" x14ac:dyDescent="0.25">
      <c r="N229" s="10"/>
    </row>
    <row r="230" spans="14:14" x14ac:dyDescent="0.25">
      <c r="N230" s="10"/>
    </row>
    <row r="231" spans="14:14" x14ac:dyDescent="0.25">
      <c r="N231" s="10"/>
    </row>
    <row r="232" spans="14:14" x14ac:dyDescent="0.25">
      <c r="N232" s="10"/>
    </row>
    <row r="233" spans="14:14" x14ac:dyDescent="0.25">
      <c r="N233" s="10"/>
    </row>
    <row r="234" spans="14:14" x14ac:dyDescent="0.25">
      <c r="N234" s="10"/>
    </row>
    <row r="235" spans="14:14" x14ac:dyDescent="0.25">
      <c r="N235" s="10"/>
    </row>
    <row r="236" spans="14:14" x14ac:dyDescent="0.25">
      <c r="N236" s="10"/>
    </row>
    <row r="237" spans="14:14" x14ac:dyDescent="0.25">
      <c r="N237" s="10"/>
    </row>
    <row r="238" spans="14:14" x14ac:dyDescent="0.25">
      <c r="N238" s="10"/>
    </row>
    <row r="239" spans="14:14" x14ac:dyDescent="0.25">
      <c r="N239" s="10"/>
    </row>
    <row r="240" spans="14:14" x14ac:dyDescent="0.25">
      <c r="N240" s="10"/>
    </row>
    <row r="241" spans="14:14" x14ac:dyDescent="0.25">
      <c r="N241" s="10"/>
    </row>
    <row r="242" spans="14:14" x14ac:dyDescent="0.25">
      <c r="N242" s="10"/>
    </row>
    <row r="243" spans="14:14" x14ac:dyDescent="0.25">
      <c r="N243" s="10"/>
    </row>
    <row r="244" spans="14:14" x14ac:dyDescent="0.25">
      <c r="N244" s="10"/>
    </row>
    <row r="245" spans="14:14" x14ac:dyDescent="0.25">
      <c r="N245" s="10"/>
    </row>
    <row r="246" spans="14:14" x14ac:dyDescent="0.25">
      <c r="N246" s="10"/>
    </row>
    <row r="247" spans="14:14" x14ac:dyDescent="0.25">
      <c r="N247" s="10"/>
    </row>
    <row r="248" spans="14:14" x14ac:dyDescent="0.25">
      <c r="N248" s="10"/>
    </row>
    <row r="249" spans="14:14" x14ac:dyDescent="0.25">
      <c r="N249" s="10"/>
    </row>
    <row r="250" spans="14:14" x14ac:dyDescent="0.25">
      <c r="N250" s="10"/>
    </row>
    <row r="251" spans="14:14" x14ac:dyDescent="0.25">
      <c r="N251" s="10"/>
    </row>
    <row r="252" spans="14:14" x14ac:dyDescent="0.25">
      <c r="N252" s="10"/>
    </row>
    <row r="253" spans="14:14" x14ac:dyDescent="0.25">
      <c r="N253" s="10"/>
    </row>
    <row r="254" spans="14:14" x14ac:dyDescent="0.25">
      <c r="N254" s="10"/>
    </row>
    <row r="255" spans="14:14" x14ac:dyDescent="0.25">
      <c r="N255" s="10"/>
    </row>
    <row r="256" spans="14:14" x14ac:dyDescent="0.25">
      <c r="N256" s="10"/>
    </row>
    <row r="257" spans="14:14" x14ac:dyDescent="0.25">
      <c r="N257" s="10"/>
    </row>
    <row r="258" spans="14:14" x14ac:dyDescent="0.25">
      <c r="N258" s="10"/>
    </row>
    <row r="259" spans="14:14" x14ac:dyDescent="0.25">
      <c r="N259" s="10"/>
    </row>
    <row r="260" spans="14:14" x14ac:dyDescent="0.25">
      <c r="N260" s="10"/>
    </row>
    <row r="261" spans="14:14" x14ac:dyDescent="0.25">
      <c r="N261" s="10"/>
    </row>
    <row r="262" spans="14:14" x14ac:dyDescent="0.25">
      <c r="N262" s="10"/>
    </row>
    <row r="263" spans="14:14" x14ac:dyDescent="0.25">
      <c r="N263" s="10"/>
    </row>
    <row r="264" spans="14:14" x14ac:dyDescent="0.25">
      <c r="N264" s="10"/>
    </row>
    <row r="265" spans="14:14" x14ac:dyDescent="0.25">
      <c r="N265" s="10"/>
    </row>
    <row r="266" spans="14:14" x14ac:dyDescent="0.25">
      <c r="N266" s="10"/>
    </row>
    <row r="267" spans="14:14" x14ac:dyDescent="0.25">
      <c r="N267" s="10"/>
    </row>
    <row r="268" spans="14:14" x14ac:dyDescent="0.25">
      <c r="N268" s="10"/>
    </row>
    <row r="269" spans="14:14" x14ac:dyDescent="0.25">
      <c r="N269" s="10"/>
    </row>
  </sheetData>
  <pageMargins left="0.7" right="0.7" top="0.75" bottom="0.75" header="0.3" footer="0.3"/>
  <pageSetup paperSize="9" scale="4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_Make_Report">
          <controlPr defaultSize="0" autoLine="0" autoPict="0" r:id="rId5">
            <anchor moveWithCells="1" sizeWithCells="1">
              <from>
                <xdr:col>1</xdr:col>
                <xdr:colOff>104775</xdr:colOff>
                <xdr:row>4</xdr:row>
                <xdr:rowOff>47625</xdr:rowOff>
              </from>
              <to>
                <xdr:col>2</xdr:col>
                <xdr:colOff>1171575</xdr:colOff>
                <xdr:row>4</xdr:row>
                <xdr:rowOff>466725</xdr:rowOff>
              </to>
            </anchor>
          </controlPr>
        </control>
      </mc:Choice>
      <mc:Fallback>
        <control shapeId="1025" r:id="rId4" name="CommandButton_Make_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Aggregated_Report">
    <pageSetUpPr fitToPage="1"/>
  </sheetPr>
  <dimension ref="B1:K23"/>
  <sheetViews>
    <sheetView workbookViewId="0">
      <selection activeCell="E16" sqref="E16"/>
    </sheetView>
  </sheetViews>
  <sheetFormatPr defaultRowHeight="15" x14ac:dyDescent="0.25"/>
  <cols>
    <col min="1" max="1" width="4.28515625" customWidth="1"/>
    <col min="2" max="2" width="32" customWidth="1"/>
    <col min="3" max="3" width="12.28515625" style="5" customWidth="1"/>
    <col min="4" max="4" width="19.85546875" bestFit="1" customWidth="1"/>
    <col min="5" max="5" width="31.42578125" customWidth="1"/>
    <col min="6" max="6" width="15" style="5" customWidth="1"/>
    <col min="7" max="8" width="13.28515625" customWidth="1"/>
    <col min="9" max="9" width="12.42578125" customWidth="1"/>
    <col min="10" max="10" width="11.85546875" customWidth="1"/>
    <col min="11" max="11" width="15.42578125" customWidth="1"/>
  </cols>
  <sheetData>
    <row r="1" spans="2:11" ht="18.75" x14ac:dyDescent="0.3">
      <c r="B1" s="6" t="s">
        <v>16</v>
      </c>
      <c r="C1" s="6"/>
      <c r="D1" s="8" t="str">
        <f>Period</f>
        <v>Октябрь, 2020</v>
      </c>
      <c r="E1" s="7"/>
      <c r="F1" s="6"/>
      <c r="G1" s="6"/>
      <c r="H1" s="3"/>
      <c r="I1" s="3"/>
      <c r="J1" s="3"/>
      <c r="K1" s="3"/>
    </row>
    <row r="2" spans="2:11" x14ac:dyDescent="0.25">
      <c r="B2" s="56" t="s">
        <v>20</v>
      </c>
      <c r="C2" s="56"/>
      <c r="D2" s="15" t="str">
        <f>Reporter</f>
        <v>Oleg Shkadov</v>
      </c>
      <c r="E2" s="15"/>
      <c r="F2" s="15"/>
    </row>
    <row r="3" spans="2:11" ht="31.5" customHeight="1" x14ac:dyDescent="0.25">
      <c r="B3" s="53" t="s">
        <v>12</v>
      </c>
      <c r="C3" s="53"/>
      <c r="D3" s="30"/>
      <c r="E3" s="54" t="s">
        <v>13</v>
      </c>
      <c r="F3" s="55"/>
    </row>
    <row r="4" spans="2:11" x14ac:dyDescent="0.25">
      <c r="B4" s="36" t="s">
        <v>7</v>
      </c>
      <c r="C4" s="37">
        <f t="array" ref="C4">SUMIF(Table!C:C,B4,Table!I:I)</f>
        <v>0</v>
      </c>
      <c r="D4" s="30"/>
      <c r="E4" s="36" t="s">
        <v>7</v>
      </c>
      <c r="F4" s="37">
        <f t="array" ref="F4">SUMIF(Table!C:C,E4,Table!J:J)</f>
        <v>0</v>
      </c>
    </row>
    <row r="5" spans="2:11" x14ac:dyDescent="0.25">
      <c r="B5" s="36" t="s">
        <v>1</v>
      </c>
      <c r="C5" s="37">
        <f t="array" ref="C5">SUMIF(Table!C:C,B5,Table!I:I)</f>
        <v>0</v>
      </c>
      <c r="D5" s="30"/>
      <c r="E5" s="36" t="s">
        <v>1</v>
      </c>
      <c r="F5" s="37">
        <f t="array" ref="F5">SUMIF(Table!C:C,E5,Table!J:J)</f>
        <v>0</v>
      </c>
    </row>
    <row r="6" spans="2:11" x14ac:dyDescent="0.25">
      <c r="B6" s="36" t="s">
        <v>0</v>
      </c>
      <c r="C6" s="37">
        <f t="array" ref="C6">SUMIF(Table!C:C,B6,Table!I:I)</f>
        <v>0</v>
      </c>
      <c r="D6" s="30"/>
      <c r="E6" s="36" t="s">
        <v>0</v>
      </c>
      <c r="F6" s="37">
        <f t="array" ref="F6">SUMIF(Table!C:C,E6,Table!J:J)</f>
        <v>0</v>
      </c>
    </row>
    <row r="7" spans="2:11" x14ac:dyDescent="0.25">
      <c r="B7" s="36" t="s">
        <v>8</v>
      </c>
      <c r="C7" s="37">
        <f t="array" ref="C7">SUMIF(Table!C:C,B7,Table!I:I)</f>
        <v>0</v>
      </c>
      <c r="D7" s="38"/>
      <c r="E7" s="36" t="s">
        <v>8</v>
      </c>
      <c r="F7" s="37">
        <f t="array" ref="F7">SUMIF(Table!C:C,E7,Table!J:J)</f>
        <v>0</v>
      </c>
    </row>
    <row r="8" spans="2:11" x14ac:dyDescent="0.25">
      <c r="B8" s="36" t="s">
        <v>2</v>
      </c>
      <c r="C8" s="37">
        <f t="array" ref="C8">SUMIF(Table!C:C,B8,Table!I:I)</f>
        <v>0</v>
      </c>
      <c r="D8" s="30"/>
      <c r="E8" s="36" t="s">
        <v>2</v>
      </c>
      <c r="F8" s="37">
        <f t="array" ref="F8">SUMIF(Table!C:C,E8,Table!J:J)</f>
        <v>0</v>
      </c>
    </row>
    <row r="9" spans="2:11" x14ac:dyDescent="0.25">
      <c r="B9" s="36" t="s">
        <v>3</v>
      </c>
      <c r="C9" s="37">
        <f t="array" ref="C9">SUMIF(Table!C:C,B9,Table!I:I)</f>
        <v>0</v>
      </c>
      <c r="D9" s="30"/>
      <c r="E9" s="36" t="s">
        <v>3</v>
      </c>
      <c r="F9" s="37">
        <f t="array" ref="F9">SUMIF(Table!C:C,E9,Table!J:J)</f>
        <v>0</v>
      </c>
    </row>
    <row r="10" spans="2:11" x14ac:dyDescent="0.25">
      <c r="B10" s="36" t="s">
        <v>4</v>
      </c>
      <c r="C10" s="37">
        <f t="array" ref="C10">SUMIF(Table!C:C,B10,Table!I:I)</f>
        <v>0</v>
      </c>
      <c r="D10" s="30"/>
      <c r="E10" s="36" t="s">
        <v>4</v>
      </c>
      <c r="F10" s="37">
        <f t="array" ref="F10">SUMIF(Table!C:C,E10,Table!J:J)</f>
        <v>0</v>
      </c>
    </row>
    <row r="11" spans="2:11" x14ac:dyDescent="0.25">
      <c r="B11" s="36" t="s">
        <v>21</v>
      </c>
      <c r="C11" s="37">
        <f t="array" ref="C11">SUMIF(Table!C:C,B11,Table!I:I)</f>
        <v>0</v>
      </c>
      <c r="D11" s="30"/>
      <c r="E11" s="36" t="s">
        <v>21</v>
      </c>
      <c r="F11" s="37">
        <f t="array" ref="F11">SUMIF(Table!C:C,E11,Table!J:J)</f>
        <v>0</v>
      </c>
    </row>
    <row r="12" spans="2:11" x14ac:dyDescent="0.25">
      <c r="B12" s="36" t="s">
        <v>22</v>
      </c>
      <c r="C12" s="37">
        <f t="array" ref="C12">SUMIF(Table!C:C,B12,Table!I:I)</f>
        <v>0</v>
      </c>
      <c r="D12" s="30"/>
      <c r="E12" s="36" t="s">
        <v>22</v>
      </c>
      <c r="F12" s="37">
        <f t="array" ref="F12">SUMIF(Table!C:C,E12,Table!J:J)</f>
        <v>0</v>
      </c>
    </row>
    <row r="13" spans="2:11" x14ac:dyDescent="0.25">
      <c r="B13" s="36" t="s">
        <v>9</v>
      </c>
      <c r="C13" s="37">
        <f t="array" ref="C13">SUMIF(Table!C:C,B13,Table!I:I)</f>
        <v>0</v>
      </c>
      <c r="D13" s="30"/>
      <c r="E13" s="36" t="s">
        <v>9</v>
      </c>
      <c r="F13" s="37">
        <f t="array" ref="F13">SUMIF(Table!C:C,E13,Table!J:J)</f>
        <v>0</v>
      </c>
    </row>
    <row r="14" spans="2:11" x14ac:dyDescent="0.25">
      <c r="B14" s="36" t="s">
        <v>10</v>
      </c>
      <c r="C14" s="37">
        <f t="array" ref="C14">SUMIF(Table!C:C,B14,Table!I:I)</f>
        <v>0</v>
      </c>
      <c r="D14" s="30"/>
      <c r="E14" s="36" t="s">
        <v>10</v>
      </c>
      <c r="F14" s="37">
        <f t="array" ref="F14">SUMIF(Table!C:C,E14,Table!J:J)</f>
        <v>0</v>
      </c>
    </row>
    <row r="15" spans="2:11" x14ac:dyDescent="0.25">
      <c r="B15" s="36" t="s">
        <v>5</v>
      </c>
      <c r="C15" s="37">
        <f t="array" ref="C15">SUMIF(Table!C:C,B15,Table!I:I)</f>
        <v>0</v>
      </c>
      <c r="D15" s="30"/>
      <c r="E15" s="36" t="s">
        <v>5</v>
      </c>
      <c r="F15" s="37">
        <f t="array" ref="F15">SUMIF(Table!C:C,E15,Table!J:J)</f>
        <v>0</v>
      </c>
    </row>
    <row r="16" spans="2:11" x14ac:dyDescent="0.25">
      <c r="B16" s="36" t="s">
        <v>32</v>
      </c>
      <c r="C16" s="37">
        <f t="array" ref="C16">SUMIF(Table!C:C,B16,Table!I:I)</f>
        <v>0</v>
      </c>
      <c r="D16" s="30"/>
      <c r="E16" s="36" t="s">
        <v>32</v>
      </c>
      <c r="F16" s="37">
        <f t="array" ref="F16">SUMIF(Table!C:C,E16,Table!J:J)</f>
        <v>0</v>
      </c>
    </row>
    <row r="17" spans="2:11" x14ac:dyDescent="0.25">
      <c r="B17" s="36" t="s">
        <v>6</v>
      </c>
      <c r="C17" s="37">
        <f t="array" ref="C17">SUMIF(Table!C:C,B17,Table!I:I)</f>
        <v>22102.454100000003</v>
      </c>
      <c r="D17" s="30"/>
      <c r="E17" s="36" t="s">
        <v>6</v>
      </c>
      <c r="F17" s="37">
        <f t="array" ref="F17">SUMIF(Table!C:C,E17,Table!J:J)</f>
        <v>221.6</v>
      </c>
    </row>
    <row r="18" spans="2:11" ht="30" x14ac:dyDescent="0.25">
      <c r="B18" s="36" t="s">
        <v>11</v>
      </c>
      <c r="C18" s="37">
        <f t="array" ref="C18">SUMIF(Table!C:C,B18,Table!I:I)</f>
        <v>0</v>
      </c>
      <c r="D18" s="30"/>
      <c r="E18" s="36" t="s">
        <v>11</v>
      </c>
      <c r="F18" s="37">
        <f t="array" ref="F18">SUMIF(Table!C:C,E18,Table!J:J)</f>
        <v>0</v>
      </c>
    </row>
    <row r="19" spans="2:11" x14ac:dyDescent="0.25">
      <c r="B19" s="39"/>
      <c r="C19" s="37"/>
      <c r="D19" s="30"/>
      <c r="E19" s="40"/>
      <c r="F19" s="41"/>
    </row>
    <row r="20" spans="2:11" x14ac:dyDescent="0.25">
      <c r="B20" s="42" t="s">
        <v>14</v>
      </c>
      <c r="C20" s="43">
        <f>SUM(C4:C19)</f>
        <v>22102.454100000003</v>
      </c>
      <c r="D20" s="30"/>
      <c r="E20" s="42" t="s">
        <v>15</v>
      </c>
      <c r="F20" s="43">
        <f>SUM(F4:F19)</f>
        <v>221.6</v>
      </c>
    </row>
    <row r="21" spans="2:11" x14ac:dyDescent="0.25">
      <c r="K21" s="2"/>
    </row>
    <row r="23" spans="2:11" x14ac:dyDescent="0.25">
      <c r="D23" s="1"/>
    </row>
  </sheetData>
  <mergeCells count="3">
    <mergeCell ref="B3:C3"/>
    <mergeCell ref="E3:F3"/>
    <mergeCell ref="B2:C2"/>
  </mergeCells>
  <pageMargins left="0.7" right="0.7" top="0.75" bottom="0.75" header="0.3" footer="0.3"/>
  <pageSetup paperSize="9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Table</vt:lpstr>
      <vt:lpstr>суммы оплат за месяц</vt:lpstr>
      <vt:lpstr>Assignee</vt:lpstr>
      <vt:lpstr>Brand</vt:lpstr>
      <vt:lpstr>Description</vt:lpstr>
      <vt:lpstr>File_Path</vt:lpstr>
      <vt:lpstr>Invoice_Amount</vt:lpstr>
      <vt:lpstr>Issue_Category</vt:lpstr>
      <vt:lpstr>Payment_Date</vt:lpstr>
      <vt:lpstr>Period</vt:lpstr>
      <vt:lpstr>Quantity</vt:lpstr>
      <vt:lpstr>Reporter</vt:lpstr>
      <vt:lpstr>Savings</vt:lpstr>
      <vt:lpstr>Supplier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Dzianis Lokutau</dc:creator>
  <cp:lastModifiedBy>Oleg Shkadov</cp:lastModifiedBy>
  <cp:lastPrinted>2016-08-30T07:57:20Z</cp:lastPrinted>
  <dcterms:created xsi:type="dcterms:W3CDTF">2016-08-19T14:50:14Z</dcterms:created>
  <dcterms:modified xsi:type="dcterms:W3CDTF">2020-11-04T06:00:30Z</dcterms:modified>
</cp:coreProperties>
</file>